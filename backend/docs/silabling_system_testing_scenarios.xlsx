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ee323ae4d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 Testing" sheetId="1" r:id="R606cee9eb61e4cb5"/>
    <x:sheet xmlns:r="http://schemas.openxmlformats.org/officeDocument/2006/relationships" name="Ringkasan" sheetId="2" r:id="R99a0ac2e46bc4a5b"/>
    <x:sheet xmlns:r="http://schemas.openxmlformats.org/officeDocument/2006/relationships" name="Daftar Referensi" sheetId="3" r:id="Raedca77b025e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065F4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E0F2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DE9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854D0E"/>
      </x:font>
      <x:fill>
        <x:patternFill patternType="solid">
          <x:bgColor rgb="FEF9C3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d36a76318422b" /><Relationship Type="http://schemas.openxmlformats.org/officeDocument/2006/relationships/theme" Target="/xl/theme/theme1.xml" Id="Rcfe66e09b1f64fc2" /><Relationship Type="http://schemas.openxmlformats.org/officeDocument/2006/relationships/sharedStrings" Target="/xl/sharedStrings.xml" Id="R28d005dcabe2421c" /><Relationship Type="http://schemas.openxmlformats.org/officeDocument/2006/relationships/worksheet" Target="/xl/worksheets/sheet1.xml" Id="R606cee9eb61e4cb5" /><Relationship Type="http://schemas.openxmlformats.org/officeDocument/2006/relationships/worksheet" Target="/xl/worksheets/sheet2.xml" Id="R99a0ac2e46bc4a5b" /><Relationship Type="http://schemas.openxmlformats.org/officeDocument/2006/relationships/worksheet" Target="/xl/worksheets/sheet3.xml" Id="Raedca77b025e4820" /></Relationships>
</file>

<file path=xl/tables/table1.xml><?xml version="1.0" encoding="utf-8"?>
<x:table xmlns:x="http://schemas.openxmlformats.org/spreadsheetml/2006/main" id="1" name="SystemTestingTable" displayName="SystemTestingTable" ref="A4:L44" headerRowCount="1">
  <x:tableColumns count="12">
    <x:tableColumn id="1" name="No"/>
    <x:tableColumn id="2" name="Kode Test Case"/>
    <x:tableColumn id="3" name="Jenis System Testing"/>
    <x:tableColumn id="4" name="Modul/Fitur"/>
    <x:tableColumn id="5" name="Aktor"/>
    <x:tableColumn id="6" name="Skenario Pengujian"/>
    <x:tableColumn id="7" name="Data Masukan / Kondisi Uji"/>
    <x:tableColumn id="8" name="Hasil yang Diharapkan"/>
    <x:tableColumn id="9" name="Hasil Sebenarnya"/>
    <x:tableColumn id="10" name="Status"/>
    <x:tableColumn id="11" name="Bukti Screenshot"/>
    <x:tableColumn id="12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5158bfa44b4128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2" hidden="0" customWidth="1"/>
    <x:col min="4" max="4" width="22" hidden="0" customWidth="1"/>
    <x:col min="5" max="5" width="18" hidden="0" customWidth="1"/>
    <x:col min="6" max="6" width="42" hidden="0" customWidth="1"/>
    <x:col min="7" max="7" width="42" hidden="0" customWidth="1"/>
    <x:col min="8" max="8" width="44" hidden="0" customWidth="1"/>
    <x:col min="9" max="9" width="34" hidden="0" customWidth="1"/>
    <x:col min="10" max="10" width="14" hidden="0" customWidth="1"/>
    <x:col min="11" max="11" width="24" hidden="0" customWidth="1"/>
    <x:col min="12" max="12" width="28" hidden="0" customWidth="1"/>
  </x:cols>
  <x:sheetData>
    <x:row r="1" ht="24" customHeight="1">
      <x:c r="A1" s="5" t="str">
        <x:v>Lampiran System Testing - Sistem Informasi Layanan Laboratorium Lingkungan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3" t="str">
        <x:v>Manual black-box browser testing untuk Requirements, Usability, Security, dan Performance Testing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6" customHeight="1">
      <x:c r="A4" s="21" t="str">
        <x:v>No</x:v>
      </x:c>
      <x:c r="B4" s="21" t="str">
        <x:v>Kode Test Case</x:v>
      </x:c>
      <x:c r="C4" s="21" t="str">
        <x:v>Jenis System Testing</x:v>
      </x:c>
      <x:c r="D4" s="21" t="str">
        <x:v>Modul/Fitur</x:v>
      </x:c>
      <x:c r="E4" s="21" t="str">
        <x:v>Aktor</x:v>
      </x:c>
      <x:c r="F4" s="21" t="str">
        <x:v>Skenario Pengujian</x:v>
      </x:c>
      <x:c r="G4" s="21" t="str">
        <x:v>Data Masukan / Kondisi Uji</x:v>
      </x:c>
      <x:c r="H4" s="21" t="str">
        <x:v>Hasil yang Diharapkan</x:v>
      </x:c>
      <x:c r="I4" s="21" t="str">
        <x:v>Hasil Sebenarnya</x:v>
      </x:c>
      <x:c r="J4" s="21" t="str">
        <x:v>Status</x:v>
      </x:c>
      <x:c r="K4" s="21" t="str">
        <x:v>Bukti Screenshot</x:v>
      </x:c>
      <x:c r="L4" s="21" t="str">
        <x:v>Catatan</x:v>
      </x:c>
    </x:row>
    <x:row r="5">
      <x:c r="A5" s="28" t="n">
        <x:v>1</x:v>
      </x:c>
      <x:c r="B5" s="28" t="str">
        <x:v>ST-001</x:v>
      </x:c>
      <x:c r="C5" s="28" t="str">
        <x:v>Requirements Testing</x:v>
      </x:c>
      <x:c r="D5" s="28" t="str">
        <x:v>Autentikasi</x:v>
      </x:c>
      <x:c r="E5" s="28" t="str">
        <x:v>Semua role</x:v>
      </x:c>
      <x:c r="F5" s="28" t="str">
        <x:v>Pengguna login menggunakan akun dan password valid sesuai role.</x:v>
      </x:c>
      <x:c r="G5" s="28" t="str">
        <x:v>Akun pelanggan, admin, kasi, penyelia, analis, QC, dan kalab yang aktif.</x:v>
      </x:c>
      <x:c r="H5" s="28" t="str">
        <x:v>Sistem menampilkan dashboard sesuai role dan menu yang sesuai hak akses.</x:v>
      </x:c>
      <x:c r="I5" s="28" t="str"/>
      <x:c r="J5" s="28" t="str">
        <x:v>Belum Diuji</x:v>
      </x:c>
      <x:c r="K5" s="28" t="str"/>
      <x:c r="L5" s="28" t="str"/>
    </x:row>
    <x:row r="6">
      <x:c r="A6" s="28" t="n">
        <x:v>2</x:v>
      </x:c>
      <x:c r="B6" s="28" t="str">
        <x:v>ST-002</x:v>
      </x:c>
      <x:c r="C6" s="28" t="str">
        <x:v>Requirements Testing</x:v>
      </x:c>
      <x:c r="D6" s="28" t="str">
        <x:v>Permohonan</x:v>
      </x:c>
      <x:c r="E6" s="28" t="str">
        <x:v>Pelanggan</x:v>
      </x:c>
      <x:c r="F6" s="28" t="str">
        <x:v>Pelanggan membuat permohonan pengujian dengan data lengkap.</x:v>
      </x:c>
      <x:c r="G6" s="28" t="str">
        <x:v>Data pelanggan, identitas sampel, parameter uji, jadwal usulan, dan dokumen pendukung valid.</x:v>
      </x:c>
      <x:c r="H6" s="28" t="str">
        <x:v>Permohonan tersimpan dan status awal tampil pada riwayat permohonan pelanggan.</x:v>
      </x:c>
      <x:c r="I6" s="28" t="str"/>
      <x:c r="J6" s="28" t="str">
        <x:v>Belum Diuji</x:v>
      </x:c>
      <x:c r="K6" s="28" t="str"/>
      <x:c r="L6" s="28" t="str"/>
    </x:row>
    <x:row r="7">
      <x:c r="A7" s="28" t="n">
        <x:v>3</x:v>
      </x:c>
      <x:c r="B7" s="28" t="str">
        <x:v>ST-003</x:v>
      </x:c>
      <x:c r="C7" s="28" t="str">
        <x:v>Requirements Testing</x:v>
      </x:c>
      <x:c r="D7" s="28" t="str">
        <x:v>Permohonan</x:v>
      </x:c>
      <x:c r="E7" s="28" t="str">
        <x:v>Pelanggan</x:v>
      </x:c>
      <x:c r="F7" s="28" t="str">
        <x:v>Sistem menolak pengajuan permohonan jika field wajib kosong.</x:v>
      </x:c>
      <x:c r="G7" s="28" t="str">
        <x:v>Form permohonan dikirim tanpa salah satu field wajib.</x:v>
      </x:c>
      <x:c r="H7" s="28" t="str">
        <x:v>Sistem menampilkan pesan validasi dan data tidak tersimpan.</x:v>
      </x:c>
      <x:c r="I7" s="28" t="str"/>
      <x:c r="J7" s="28" t="str">
        <x:v>Belum Diuji</x:v>
      </x:c>
      <x:c r="K7" s="28" t="str"/>
      <x:c r="L7" s="28" t="str"/>
    </x:row>
    <x:row r="8">
      <x:c r="A8" s="28" t="n">
        <x:v>4</x:v>
      </x:c>
      <x:c r="B8" s="28" t="str">
        <x:v>ST-004</x:v>
      </x:c>
      <x:c r="C8" s="28" t="str">
        <x:v>Requirements Testing</x:v>
      </x:c>
      <x:c r="D8" s="28" t="str">
        <x:v>Riwayat Permohonan</x:v>
      </x:c>
      <x:c r="E8" s="28" t="str">
        <x:v>Pelanggan</x:v>
      </x:c>
      <x:c r="F8" s="28" t="str">
        <x:v>Pelanggan melihat riwayat dan status permohonan sendiri.</x:v>
      </x:c>
      <x:c r="G8" s="28" t="str">
        <x:v>Pelanggan membuka halaman riwayat permohonan.</x:v>
      </x:c>
      <x:c r="H8" s="28" t="str">
        <x:v>Sistem menampilkan daftar permohonan milik pelanggan beserta status terkini.</x:v>
      </x:c>
      <x:c r="I8" s="28" t="str"/>
      <x:c r="J8" s="28" t="str">
        <x:v>Belum Diuji</x:v>
      </x:c>
      <x:c r="K8" s="28" t="str"/>
      <x:c r="L8" s="28" t="str"/>
    </x:row>
    <x:row r="9">
      <x:c r="A9" s="28" t="n">
        <x:v>5</x:v>
      </x:c>
      <x:c r="B9" s="28" t="str">
        <x:v>ST-005</x:v>
      </x:c>
      <x:c r="C9" s="28" t="str">
        <x:v>Requirements Testing</x:v>
      </x:c>
      <x:c r="D9" s="28" t="str">
        <x:v>Verifikasi Permohonan</x:v>
      </x:c>
      <x:c r="E9" s="28" t="str">
        <x:v>Admin</x:v>
      </x:c>
      <x:c r="F9" s="28" t="str">
        <x:v>Admin memverifikasi permohonan yang masuk.</x:v>
      </x:c>
      <x:c r="G9" s="28" t="str">
        <x:v>Permohonan berstatus menunggu verifikasi admin.</x:v>
      </x:c>
      <x:c r="H9" s="28" t="str">
        <x:v>Status permohonan berubah menjadi terverifikasi dan dapat diproses ke tahap Kasi.</x:v>
      </x:c>
      <x:c r="I9" s="28" t="str"/>
      <x:c r="J9" s="28" t="str">
        <x:v>Belum Diuji</x:v>
      </x:c>
      <x:c r="K9" s="28" t="str"/>
      <x:c r="L9" s="28" t="str"/>
    </x:row>
    <x:row r="10">
      <x:c r="A10" s="28" t="n">
        <x:v>6</x:v>
      </x:c>
      <x:c r="B10" s="28" t="str">
        <x:v>ST-006</x:v>
      </x:c>
      <x:c r="C10" s="28" t="str">
        <x:v>Requirements Testing</x:v>
      </x:c>
      <x:c r="D10" s="28" t="str">
        <x:v>Verifikasi Permohonan</x:v>
      </x:c>
      <x:c r="E10" s="28" t="str">
        <x:v>Admin</x:v>
      </x:c>
      <x:c r="F10" s="28" t="str">
        <x:v>Admin menolak atau meminta revisi permohonan dengan catatan.</x:v>
      </x:c>
      <x:c r="G10" s="28" t="str">
        <x:v>Admin memilih status ditolak/perlu revisi dan mengisi catatan.</x:v>
      </x:c>
      <x:c r="H10" s="28" t="str">
        <x:v>Status berubah sesuai keputusan dan catatan dapat dilihat pelanggan.</x:v>
      </x:c>
      <x:c r="I10" s="28" t="str"/>
      <x:c r="J10" s="28" t="str">
        <x:v>Belum Diuji</x:v>
      </x:c>
      <x:c r="K10" s="28" t="str"/>
      <x:c r="L10" s="28" t="str"/>
    </x:row>
    <x:row r="11">
      <x:c r="A11" s="28" t="n">
        <x:v>7</x:v>
      </x:c>
      <x:c r="B11" s="28" t="str">
        <x:v>ST-007</x:v>
      </x:c>
      <x:c r="C11" s="28" t="str">
        <x:v>Requirements Testing</x:v>
      </x:c>
      <x:c r="D11" s="28" t="str">
        <x:v>Metode dan Parameter Uji</x:v>
      </x:c>
      <x:c r="E11" s="28" t="str">
        <x:v>Kasi</x:v>
      </x:c>
      <x:c r="F11" s="28" t="str">
        <x:v>Kasi menetapkan metode dan parameter uji untuk permohonan yang telah diverifikasi.</x:v>
      </x:c>
      <x:c r="G11" s="28" t="str">
        <x:v>Permohonan sudah diverifikasi admin dan memiliki sampel/parameter yang perlu diproses.</x:v>
      </x:c>
      <x:c r="H11" s="28" t="str">
        <x:v>Metode dan parameter uji tersimpan pada detail permohonan.</x:v>
      </x:c>
      <x:c r="I11" s="28" t="str"/>
      <x:c r="J11" s="28" t="str">
        <x:v>Belum Diuji</x:v>
      </x:c>
      <x:c r="K11" s="28" t="str"/>
      <x:c r="L11" s="28" t="str"/>
    </x:row>
    <x:row r="12">
      <x:c r="A12" s="28" t="n">
        <x:v>8</x:v>
      </x:c>
      <x:c r="B12" s="28" t="str">
        <x:v>ST-008</x:v>
      </x:c>
      <x:c r="C12" s="28" t="str">
        <x:v>Requirements Testing</x:v>
      </x:c>
      <x:c r="D12" s="28" t="str">
        <x:v>Rincian Pembayaran</x:v>
      </x:c>
      <x:c r="E12" s="28" t="str">
        <x:v>Kasi</x:v>
      </x:c>
      <x:c r="F12" s="28" t="str">
        <x:v>Kasi menetapkan rincian biaya/tagihan berdasarkan parameter uji.</x:v>
      </x:c>
      <x:c r="G12" s="28" t="str">
        <x:v>Parameter dan metode uji telah ditentukan.</x:v>
      </x:c>
      <x:c r="H12" s="28" t="str">
        <x:v>Tagihan terbentuk dan permohonan masuk ke status menunggu pembayaran.</x:v>
      </x:c>
      <x:c r="I12" s="28" t="str"/>
      <x:c r="J12" s="28" t="str">
        <x:v>Belum Diuji</x:v>
      </x:c>
      <x:c r="K12" s="28" t="str"/>
      <x:c r="L12" s="28" t="str"/>
    </x:row>
    <x:row r="13">
      <x:c r="A13" s="28" t="n">
        <x:v>9</x:v>
      </x:c>
      <x:c r="B13" s="28" t="str">
        <x:v>ST-009</x:v>
      </x:c>
      <x:c r="C13" s="28" t="str">
        <x:v>Requirements Testing</x:v>
      </x:c>
      <x:c r="D13" s="28" t="str">
        <x:v>Payment Gateway</x:v>
      </x:c>
      <x:c r="E13" s="28" t="str">
        <x:v>Pelanggan</x:v>
      </x:c>
      <x:c r="F13" s="28" t="str">
        <x:v>Pelanggan membuat transaksi pembayaran melalui payment gateway.</x:v>
      </x:c>
      <x:c r="G13" s="28" t="str">
        <x:v>Permohonan memiliki tagihan aktif.</x:v>
      </x:c>
      <x:c r="H13" s="28" t="str">
        <x:v>Sistem membuat transaksi payment gateway dan menampilkan instruksi pembayaran.</x:v>
      </x:c>
      <x:c r="I13" s="28" t="str"/>
      <x:c r="J13" s="28" t="str">
        <x:v>Belum Diuji</x:v>
      </x:c>
      <x:c r="K13" s="28" t="str"/>
      <x:c r="L13" s="28" t="str"/>
    </x:row>
    <x:row r="14">
      <x:c r="A14" s="28" t="n">
        <x:v>10</x:v>
      </x:c>
      <x:c r="B14" s="28" t="str">
        <x:v>ST-010</x:v>
      </x:c>
      <x:c r="C14" s="28" t="str">
        <x:v>Requirements Testing</x:v>
      </x:c>
      <x:c r="D14" s="28" t="str">
        <x:v>Payment Gateway</x:v>
      </x:c>
      <x:c r="E14" s="28" t="str">
        <x:v>Sistem</x:v>
      </x:c>
      <x:c r="F14" s="28" t="str">
        <x:v>Sistem menerima callback/webhook pembayaran sukses.</x:v>
      </x:c>
      <x:c r="G14" s="28" t="str">
        <x:v>Callback pembayaran sukses dari payment gateway untuk invoice valid.</x:v>
      </x:c>
      <x:c r="H14" s="28" t="str">
        <x:v>Status pembayaran berubah otomatis menjadi sukses/lunas tanpa verifikasi manual admin.</x:v>
      </x:c>
      <x:c r="I14" s="28" t="str"/>
      <x:c r="J14" s="28" t="str">
        <x:v>Belum Diuji</x:v>
      </x:c>
      <x:c r="K14" s="28" t="str"/>
      <x:c r="L14" s="28" t="str"/>
    </x:row>
    <x:row r="15">
      <x:c r="A15" s="28" t="n">
        <x:v>11</x:v>
      </x:c>
      <x:c r="B15" s="28" t="str">
        <x:v>ST-011</x:v>
      </x:c>
      <x:c r="C15" s="28" t="str">
        <x:v>Requirements Testing</x:v>
      </x:c>
      <x:c r="D15" s="28" t="str">
        <x:v>Payment Gateway</x:v>
      </x:c>
      <x:c r="E15" s="28" t="str">
        <x:v>Sistem</x:v>
      </x:c>
      <x:c r="F15" s="28" t="str">
        <x:v>Sistem menangani pembayaran gagal atau kedaluwarsa.</x:v>
      </x:c>
      <x:c r="G15" s="28" t="str">
        <x:v>Callback pembayaran gagal/kedaluwarsa dari payment gateway.</x:v>
      </x:c>
      <x:c r="H15" s="28" t="str">
        <x:v>Status pembayaran diperbarui sesuai kondisi dan proses sampel belum dapat dilanjutkan.</x:v>
      </x:c>
      <x:c r="I15" s="28" t="str"/>
      <x:c r="J15" s="28" t="str">
        <x:v>Belum Diuji</x:v>
      </x:c>
      <x:c r="K15" s="28" t="str"/>
      <x:c r="L15" s="28" t="str"/>
    </x:row>
    <x:row r="16">
      <x:c r="A16" s="28" t="n">
        <x:v>12</x:v>
      </x:c>
      <x:c r="B16" s="28" t="str">
        <x:v>ST-012</x:v>
      </x:c>
      <x:c r="C16" s="28" t="str">
        <x:v>Requirements Testing</x:v>
      </x:c>
      <x:c r="D16" s="28" t="str">
        <x:v>Jadwal Sampel</x:v>
      </x:c>
      <x:c r="E16" s="28" t="str">
        <x:v>Admin</x:v>
      </x:c>
      <x:c r="F16" s="28" t="str">
        <x:v>Admin menentukan jadwal pengambilan sampel setelah pembayaran sukses.</x:v>
      </x:c>
      <x:c r="G16" s="28" t="str">
        <x:v>Permohonan dengan status pembayaran sukses.</x:v>
      </x:c>
      <x:c r="H16" s="28" t="str">
        <x:v>Jadwal tersimpan dan dapat dilihat pelanggan pada detail permohonan.</x:v>
      </x:c>
      <x:c r="I16" s="28" t="str"/>
      <x:c r="J16" s="28" t="str">
        <x:v>Belum Diuji</x:v>
      </x:c>
      <x:c r="K16" s="28" t="str"/>
      <x:c r="L16" s="28" t="str"/>
    </x:row>
    <x:row r="17">
      <x:c r="A17" s="28" t="n">
        <x:v>13</x:v>
      </x:c>
      <x:c r="B17" s="28" t="str">
        <x:v>ST-013</x:v>
      </x:c>
      <x:c r="C17" s="28" t="str">
        <x:v>Requirements Testing</x:v>
      </x:c>
      <x:c r="D17" s="28" t="str">
        <x:v>Perubahan Jadwal</x:v>
      </x:c>
      <x:c r="E17" s="28" t="str">
        <x:v>Admin/Pelanggan</x:v>
      </x:c>
      <x:c r="F17" s="28" t="str">
        <x:v>Sistem memproses usulan perubahan jadwal sesuai kebijakan jadwal.</x:v>
      </x:c>
      <x:c r="G17" s="28" t="str">
        <x:v>Pelanggan mengajukan perubahan jadwal atau admin memperbarui jadwal.</x:v>
      </x:c>
      <x:c r="H17" s="28" t="str">
        <x:v>Status perubahan jadwal tercatat dan jadwal terbaru tampil konsisten.</x:v>
      </x:c>
      <x:c r="I17" s="28" t="str"/>
      <x:c r="J17" s="28" t="str">
        <x:v>Belum Diuji</x:v>
      </x:c>
      <x:c r="K17" s="28" t="str"/>
      <x:c r="L17" s="28" t="str"/>
    </x:row>
    <x:row r="18">
      <x:c r="A18" s="28" t="n">
        <x:v>14</x:v>
      </x:c>
      <x:c r="B18" s="28" t="str">
        <x:v>ST-014</x:v>
      </x:c>
      <x:c r="C18" s="28" t="str">
        <x:v>Requirements Testing</x:v>
      </x:c>
      <x:c r="D18" s="28" t="str">
        <x:v>Penerimaan Sampel</x:v>
      </x:c>
      <x:c r="E18" s="28" t="str">
        <x:v>Admin</x:v>
      </x:c>
      <x:c r="F18" s="28" t="str">
        <x:v>Admin menerima sampel dan generate nomor sampel/barcode.</x:v>
      </x:c>
      <x:c r="G18" s="28" t="str">
        <x:v>Pembayaran sukses dan jadwal pengambilan/penerimaan tersedia.</x:v>
      </x:c>
      <x:c r="H18" s="28" t="str">
        <x:v>Sampel tercatat diterima, nomor sampel/barcode terbentuk, dan status proses berubah.</x:v>
      </x:c>
      <x:c r="I18" s="28" t="str"/>
      <x:c r="J18" s="28" t="str">
        <x:v>Belum Diuji</x:v>
      </x:c>
      <x:c r="K18" s="28" t="str"/>
      <x:c r="L18" s="28" t="str"/>
    </x:row>
    <x:row r="19">
      <x:c r="A19" s="28" t="n">
        <x:v>15</x:v>
      </x:c>
      <x:c r="B19" s="28" t="str">
        <x:v>ST-015</x:v>
      </x:c>
      <x:c r="C19" s="28" t="str">
        <x:v>Requirements Testing</x:v>
      </x:c>
      <x:c r="D19" s="28" t="str">
        <x:v>Penugasan</x:v>
      </x:c>
      <x:c r="E19" s="28" t="str">
        <x:v>Penyelia</x:v>
      </x:c>
      <x:c r="F19" s="28" t="str">
        <x:v>Penyelia melihat sampel yang siap ditugaskan.</x:v>
      </x:c>
      <x:c r="G19" s="28" t="str">
        <x:v>Sampel sudah diterima/generate nomor sampel.</x:v>
      </x:c>
      <x:c r="H19" s="28" t="str">
        <x:v>Daftar sampel siap penugasan tampil pada akun penyelia.</x:v>
      </x:c>
      <x:c r="I19" s="28" t="str"/>
      <x:c r="J19" s="28" t="str">
        <x:v>Belum Diuji</x:v>
      </x:c>
      <x:c r="K19" s="28" t="str"/>
      <x:c r="L19" s="28" t="str"/>
    </x:row>
    <x:row r="20">
      <x:c r="A20" s="28" t="n">
        <x:v>16</x:v>
      </x:c>
      <x:c r="B20" s="28" t="str">
        <x:v>ST-016</x:v>
      </x:c>
      <x:c r="C20" s="28" t="str">
        <x:v>Requirements Testing</x:v>
      </x:c>
      <x:c r="D20" s="28" t="str">
        <x:v>Penugasan</x:v>
      </x:c>
      <x:c r="E20" s="28" t="str">
        <x:v>Penyelia</x:v>
      </x:c>
      <x:c r="F20" s="28" t="str">
        <x:v>Penyelia membuat penugasan analis.</x:v>
      </x:c>
      <x:c r="G20" s="28" t="str">
        <x:v>Penyelia memilih sampel, analis, dan parameter/pekerjaan uji.</x:v>
      </x:c>
      <x:c r="H20" s="28" t="str">
        <x:v>Penugasan tersimpan dan tampil pada akun analis yang ditugaskan.</x:v>
      </x:c>
      <x:c r="I20" s="28" t="str"/>
      <x:c r="J20" s="28" t="str">
        <x:v>Belum Diuji</x:v>
      </x:c>
      <x:c r="K20" s="28" t="str"/>
      <x:c r="L20" s="28" t="str"/>
    </x:row>
    <x:row r="21">
      <x:c r="A21" s="28" t="n">
        <x:v>17</x:v>
      </x:c>
      <x:c r="B21" s="28" t="str">
        <x:v>ST-017</x:v>
      </x:c>
      <x:c r="C21" s="28" t="str">
        <x:v>Requirements Testing</x:v>
      </x:c>
      <x:c r="D21" s="28" t="str">
        <x:v>Hasil Pengujian</x:v>
      </x:c>
      <x:c r="E21" s="28" t="str">
        <x:v>Analis</x:v>
      </x:c>
      <x:c r="F21" s="28" t="str">
        <x:v>Analis melihat daftar penugasan miliknya.</x:v>
      </x:c>
      <x:c r="G21" s="28" t="str">
        <x:v>Analis login dan membuka halaman penugasan.</x:v>
      </x:c>
      <x:c r="H21" s="28" t="str">
        <x:v>Sistem hanya menampilkan penugasan milik analis tersebut.</x:v>
      </x:c>
      <x:c r="I21" s="28" t="str"/>
      <x:c r="J21" s="28" t="str">
        <x:v>Belum Diuji</x:v>
      </x:c>
      <x:c r="K21" s="28" t="str"/>
      <x:c r="L21" s="28" t="str"/>
    </x:row>
    <x:row r="22">
      <x:c r="A22" s="28" t="n">
        <x:v>18</x:v>
      </x:c>
      <x:c r="B22" s="28" t="str">
        <x:v>ST-018</x:v>
      </x:c>
      <x:c r="C22" s="28" t="str">
        <x:v>Requirements Testing</x:v>
      </x:c>
      <x:c r="D22" s="28" t="str">
        <x:v>Hasil Pengujian</x:v>
      </x:c>
      <x:c r="E22" s="28" t="str">
        <x:v>Analis</x:v>
      </x:c>
      <x:c r="F22" s="28" t="str">
        <x:v>Analis menginputkan hasil pengujian.</x:v>
      </x:c>
      <x:c r="G22" s="28" t="str">
        <x:v>Data hasil pengujian diisi sesuai parameter yang ditugaskan.</x:v>
      </x:c>
      <x:c r="H22" s="28" t="str">
        <x:v>Hasil tersimpan sebagai draft/hasil pengujian pada penugasan terkait.</x:v>
      </x:c>
      <x:c r="I22" s="28" t="str"/>
      <x:c r="J22" s="28" t="str">
        <x:v>Belum Diuji</x:v>
      </x:c>
      <x:c r="K22" s="28" t="str"/>
      <x:c r="L22" s="28" t="str"/>
    </x:row>
    <x:row r="23">
      <x:c r="A23" s="28" t="n">
        <x:v>19</x:v>
      </x:c>
      <x:c r="B23" s="28" t="str">
        <x:v>ST-019</x:v>
      </x:c>
      <x:c r="C23" s="28" t="str">
        <x:v>Requirements Testing</x:v>
      </x:c>
      <x:c r="D23" s="28" t="str">
        <x:v>Hasil Pengujian</x:v>
      </x:c>
      <x:c r="E23" s="28" t="str">
        <x:v>Analis</x:v>
      </x:c>
      <x:c r="F23" s="28" t="str">
        <x:v>Analis mengirim hasil pengujian ke Penyelia.</x:v>
      </x:c>
      <x:c r="G23" s="28" t="str">
        <x:v>Semua hasil wajib telah diisi.</x:v>
      </x:c>
      <x:c r="H23" s="28" t="str">
        <x:v>Status hasil berubah menjadi menunggu review penyelia.</x:v>
      </x:c>
      <x:c r="I23" s="28" t="str"/>
      <x:c r="J23" s="28" t="str">
        <x:v>Belum Diuji</x:v>
      </x:c>
      <x:c r="K23" s="28" t="str"/>
      <x:c r="L23" s="28" t="str"/>
    </x:row>
    <x:row r="24">
      <x:c r="A24" s="28" t="n">
        <x:v>20</x:v>
      </x:c>
      <x:c r="B24" s="28" t="str">
        <x:v>ST-020</x:v>
      </x:c>
      <x:c r="C24" s="28" t="str">
        <x:v>Requirements Testing</x:v>
      </x:c>
      <x:c r="D24" s="28" t="str">
        <x:v>Review Hasil</x:v>
      </x:c>
      <x:c r="E24" s="28" t="str">
        <x:v>Penyelia</x:v>
      </x:c>
      <x:c r="F24" s="28" t="str">
        <x:v>Penyelia menyetujui hasil pengujian analis.</x:v>
      </x:c>
      <x:c r="G24" s="28" t="str">
        <x:v>Hasil pengujian berstatus menunggu review penyelia.</x:v>
      </x:c>
      <x:c r="H24" s="28" t="str">
        <x:v>Status hasil berubah menjadi disetujui penyelia dan dapat direview Kasi.</x:v>
      </x:c>
      <x:c r="I24" s="28" t="str"/>
      <x:c r="J24" s="28" t="str">
        <x:v>Belum Diuji</x:v>
      </x:c>
      <x:c r="K24" s="28" t="str"/>
      <x:c r="L24" s="28" t="str"/>
    </x:row>
    <x:row r="25">
      <x:c r="A25" s="28" t="n">
        <x:v>21</x:v>
      </x:c>
      <x:c r="B25" s="28" t="str">
        <x:v>ST-021</x:v>
      </x:c>
      <x:c r="C25" s="28" t="str">
        <x:v>Requirements Testing</x:v>
      </x:c>
      <x:c r="D25" s="28" t="str">
        <x:v>Review Hasil</x:v>
      </x:c>
      <x:c r="E25" s="28" t="str">
        <x:v>Penyelia</x:v>
      </x:c>
      <x:c r="F25" s="28" t="str">
        <x:v>Penyelia meminta revisi hasil pengujian dengan catatan.</x:v>
      </x:c>
      <x:c r="G25" s="28" t="str">
        <x:v>Penyelia memilih hasil tertentu dan mengisi catatan revisi.</x:v>
      </x:c>
      <x:c r="H25" s="28" t="str">
        <x:v>Status hasil berubah menjadi perlu revisi dan catatan tampil pada akun analis.</x:v>
      </x:c>
      <x:c r="I25" s="28" t="str"/>
      <x:c r="J25" s="28" t="str">
        <x:v>Belum Diuji</x:v>
      </x:c>
      <x:c r="K25" s="28" t="str"/>
      <x:c r="L25" s="28" t="str"/>
    </x:row>
    <x:row r="26">
      <x:c r="A26" s="28" t="n">
        <x:v>22</x:v>
      </x:c>
      <x:c r="B26" s="28" t="str">
        <x:v>ST-022</x:v>
      </x:c>
      <x:c r="C26" s="28" t="str">
        <x:v>Requirements Testing</x:v>
      </x:c>
      <x:c r="D26" s="28" t="str">
        <x:v>Revisi Hasil</x:v>
      </x:c>
      <x:c r="E26" s="28" t="str">
        <x:v>Analis</x:v>
      </x:c>
      <x:c r="F26" s="28" t="str">
        <x:v>Analis memperbaiki hasil pengujian berdasarkan catatan revisi.</x:v>
      </x:c>
      <x:c r="G26" s="28" t="str">
        <x:v>Hasil berstatus perlu revisi dari penyelia atau Kasi.</x:v>
      </x:c>
      <x:c r="H26" s="28" t="str">
        <x:v>Hasil diperbarui dan dapat dikirim kembali untuk review.</x:v>
      </x:c>
      <x:c r="I26" s="28" t="str"/>
      <x:c r="J26" s="28" t="str">
        <x:v>Belum Diuji</x:v>
      </x:c>
      <x:c r="K26" s="28" t="str"/>
      <x:c r="L26" s="28" t="str"/>
    </x:row>
    <x:row r="27">
      <x:c r="A27" s="28" t="n">
        <x:v>23</x:v>
      </x:c>
      <x:c r="B27" s="28" t="str">
        <x:v>ST-023</x:v>
      </x:c>
      <x:c r="C27" s="28" t="str">
        <x:v>Requirements Testing</x:v>
      </x:c>
      <x:c r="D27" s="28" t="str">
        <x:v>Review Hasil</x:v>
      </x:c>
      <x:c r="E27" s="28" t="str">
        <x:v>Kasi</x:v>
      </x:c>
      <x:c r="F27" s="28" t="str">
        <x:v>Kasi hanya melihat hasil yang sudah disetujui Penyelia.</x:v>
      </x:c>
      <x:c r="G27" s="28" t="str">
        <x:v>Ada hasil menunggu penyelia dan hasil disetujui penyelia.</x:v>
      </x:c>
      <x:c r="H27" s="28" t="str">
        <x:v>Halaman Kasi hanya menampilkan hasil yang sudah lolos review penyelia.</x:v>
      </x:c>
      <x:c r="I27" s="28" t="str"/>
      <x:c r="J27" s="28" t="str">
        <x:v>Belum Diuji</x:v>
      </x:c>
      <x:c r="K27" s="28" t="str"/>
      <x:c r="L27" s="28" t="str"/>
    </x:row>
    <x:row r="28">
      <x:c r="A28" s="28" t="n">
        <x:v>24</x:v>
      </x:c>
      <x:c r="B28" s="28" t="str">
        <x:v>ST-024</x:v>
      </x:c>
      <x:c r="C28" s="28" t="str">
        <x:v>Requirements Testing</x:v>
      </x:c>
      <x:c r="D28" s="28" t="str">
        <x:v>Review Hasil</x:v>
      </x:c>
      <x:c r="E28" s="28" t="str">
        <x:v>Kasi</x:v>
      </x:c>
      <x:c r="F28" s="28" t="str">
        <x:v>Kasi menyetujui hasil pengujian.</x:v>
      </x:c>
      <x:c r="G28" s="28" t="str">
        <x:v>Hasil sudah disetujui penyelia.</x:v>
      </x:c>
      <x:c r="H28" s="28" t="str">
        <x:v>Status hasil berubah menjadi disetujui Kasi dan siap menjadi sumber LHU.</x:v>
      </x:c>
      <x:c r="I28" s="28" t="str"/>
      <x:c r="J28" s="28" t="str">
        <x:v>Belum Diuji</x:v>
      </x:c>
      <x:c r="K28" s="28" t="str"/>
      <x:c r="L28" s="28" t="str"/>
    </x:row>
    <x:row r="29">
      <x:c r="A29" s="28" t="n">
        <x:v>25</x:v>
      </x:c>
      <x:c r="B29" s="28" t="str">
        <x:v>ST-025</x:v>
      </x:c>
      <x:c r="C29" s="28" t="str">
        <x:v>Requirements Testing</x:v>
      </x:c>
      <x:c r="D29" s="28" t="str">
        <x:v>Review Hasil</x:v>
      </x:c>
      <x:c r="E29" s="28" t="str">
        <x:v>Kasi</x:v>
      </x:c>
      <x:c r="F29" s="28" t="str">
        <x:v>Kasi meminta revisi hasil pengujian dengan catatan.</x:v>
      </x:c>
      <x:c r="G29" s="28" t="str">
        <x:v>Kasi memilih hasil tertentu dan mengisi catatan revisi.</x:v>
      </x:c>
      <x:c r="H29" s="28" t="str">
        <x:v>Status hasil berubah menjadi perlu revisi dari Kasi dan catatan tampil sesuai alur.</x:v>
      </x:c>
      <x:c r="I29" s="28" t="str"/>
      <x:c r="J29" s="28" t="str">
        <x:v>Belum Diuji</x:v>
      </x:c>
      <x:c r="K29" s="28" t="str"/>
      <x:c r="L29" s="28" t="str"/>
    </x:row>
    <x:row r="30">
      <x:c r="A30" s="28" t="n">
        <x:v>26</x:v>
      </x:c>
      <x:c r="B30" s="28" t="str">
        <x:v>ST-026</x:v>
      </x:c>
      <x:c r="C30" s="28" t="str">
        <x:v>Requirements Testing</x:v>
      </x:c>
      <x:c r="D30" s="28" t="str">
        <x:v>LHU</x:v>
      </x:c>
      <x:c r="E30" s="28" t="str">
        <x:v>QC</x:v>
      </x:c>
      <x:c r="F30" s="28" t="str">
        <x:v>QC menyusun draft LHU dari hasil yang sudah disetujui Kasi.</x:v>
      </x:c>
      <x:c r="G30" s="28" t="str">
        <x:v>Hasil pengujian sudah approved Kasi.</x:v>
      </x:c>
      <x:c r="H30" s="28" t="str">
        <x:v>Draft LHU terbentuk dan memuat data sampel/hasil yang sesuai.</x:v>
      </x:c>
      <x:c r="I30" s="28" t="str"/>
      <x:c r="J30" s="28" t="str">
        <x:v>Belum Diuji</x:v>
      </x:c>
      <x:c r="K30" s="28" t="str"/>
      <x:c r="L30" s="28" t="str"/>
    </x:row>
    <x:row r="31">
      <x:c r="A31" s="28" t="n">
        <x:v>27</x:v>
      </x:c>
      <x:c r="B31" s="28" t="str">
        <x:v>ST-027</x:v>
      </x:c>
      <x:c r="C31" s="28" t="str">
        <x:v>Requirements Testing</x:v>
      </x:c>
      <x:c r="D31" s="28" t="str">
        <x:v>Approval LHU</x:v>
      </x:c>
      <x:c r="E31" s="28" t="str">
        <x:v>Kalab</x:v>
      </x:c>
      <x:c r="F31" s="28" t="str">
        <x:v>Kalab menyetujui LHU yang sudah disusun QC.</x:v>
      </x:c>
      <x:c r="G31" s="28" t="str">
        <x:v>Draft/finalisasi LHU menunggu approval Kalab.</x:v>
      </x:c>
      <x:c r="H31" s="28" t="str">
        <x:v>Status LHU berubah menjadi disetujui/approved Kalab.</x:v>
      </x:c>
      <x:c r="I31" s="28" t="str"/>
      <x:c r="J31" s="28" t="str">
        <x:v>Belum Diuji</x:v>
      </x:c>
      <x:c r="K31" s="28" t="str"/>
      <x:c r="L31" s="28" t="str"/>
    </x:row>
    <x:row r="32">
      <x:c r="A32" s="28" t="n">
        <x:v>28</x:v>
      </x:c>
      <x:c r="B32" s="28" t="str">
        <x:v>ST-028</x:v>
      </x:c>
      <x:c r="C32" s="28" t="str">
        <x:v>Requirements Testing</x:v>
      </x:c>
      <x:c r="D32" s="28" t="str">
        <x:v>Pengambilan LHU</x:v>
      </x:c>
      <x:c r="E32" s="28" t="str">
        <x:v>Pelanggan</x:v>
      </x:c>
      <x:c r="F32" s="28" t="str">
        <x:v>Pelanggan melihat jadwal pengambilan LHU dan melakukan pengambilan sesuai jadwal.</x:v>
      </x:c>
      <x:c r="G32" s="28" t="str">
        <x:v>LHU sudah disetujui Kalab dan jadwal pengambilan tersedia.</x:v>
      </x:c>
      <x:c r="H32" s="28" t="str">
        <x:v>Jadwal tampil pada akun pelanggan dan status pengambilan dapat diperbarui sesuai proses.</x:v>
      </x:c>
      <x:c r="I32" s="28" t="str"/>
      <x:c r="J32" s="28" t="str">
        <x:v>Belum Diuji</x:v>
      </x:c>
      <x:c r="K32" s="28" t="str"/>
      <x:c r="L32" s="28" t="str"/>
    </x:row>
    <x:row r="33">
      <x:c r="A33" s="28" t="n">
        <x:v>29</x:v>
      </x:c>
      <x:c r="B33" s="28" t="str">
        <x:v>ST-029</x:v>
      </x:c>
      <x:c r="C33" s="28" t="str">
        <x:v>Usability Testing</x:v>
      </x:c>
      <x:c r="D33" s="28" t="str">
        <x:v>Navigasi Role</x:v>
      </x:c>
      <x:c r="E33" s="28" t="str">
        <x:v>Semua role</x:v>
      </x:c>
      <x:c r="F33" s="28" t="str">
        <x:v>Pengguna dapat menemukan menu utama sesuai role tanpa kebingungan.</x:v>
      </x:c>
      <x:c r="G33" s="28" t="str">
        <x:v>Pengguna login dan membuka dashboard masing-masing role.</x:v>
      </x:c>
      <x:c r="H33" s="28" t="str">
        <x:v>Menu tampil jelas, dikelompokkan sesuai proses kerja, dan tidak ada menu yang menyesatkan.</x:v>
      </x:c>
      <x:c r="I33" s="28" t="str"/>
      <x:c r="J33" s="28" t="str">
        <x:v>Belum Diuji</x:v>
      </x:c>
      <x:c r="K33" s="28" t="str"/>
      <x:c r="L33" s="28" t="str"/>
    </x:row>
    <x:row r="34">
      <x:c r="A34" s="28" t="n">
        <x:v>30</x:v>
      </x:c>
      <x:c r="B34" s="28" t="str">
        <x:v>ST-030</x:v>
      </x:c>
      <x:c r="C34" s="28" t="str">
        <x:v>Usability Testing</x:v>
      </x:c>
      <x:c r="D34" s="28" t="str">
        <x:v>Form dan Validasi</x:v>
      </x:c>
      <x:c r="E34" s="28" t="str">
        <x:v>Pelanggan/Admin/Kasi</x:v>
      </x:c>
      <x:c r="F34" s="28" t="str">
        <x:v>Pesan error validasi mudah dipahami oleh pengguna.</x:v>
      </x:c>
      <x:c r="G34" s="28" t="str">
        <x:v>Pengguna mengirim form dengan input tidak lengkap/salah.</x:v>
      </x:c>
      <x:c r="H34" s="28" t="str">
        <x:v>Sistem menampilkan pesan error yang spesifik, sopan, dan menjelaskan cara memperbaiki.</x:v>
      </x:c>
      <x:c r="I34" s="28" t="str"/>
      <x:c r="J34" s="28" t="str">
        <x:v>Belum Diuji</x:v>
      </x:c>
      <x:c r="K34" s="28" t="str"/>
      <x:c r="L34" s="28" t="str"/>
    </x:row>
    <x:row r="35">
      <x:c r="A35" s="28" t="n">
        <x:v>31</x:v>
      </x:c>
      <x:c r="B35" s="28" t="str">
        <x:v>ST-031</x:v>
      </x:c>
      <x:c r="C35" s="28" t="str">
        <x:v>Usability Testing</x:v>
      </x:c>
      <x:c r="D35" s="28" t="str">
        <x:v>Search dan Filter</x:v>
      </x:c>
      <x:c r="E35" s="28" t="str">
        <x:v>Admin/Kasi/Penyelia/QC/Kalab</x:v>
      </x:c>
      <x:c r="F35" s="28" t="str">
        <x:v>Pengguna dapat mencari dan memfilter data pada tabel utama.</x:v>
      </x:c>
      <x:c r="G35" s="28" t="str">
        <x:v>Pengguna memasukkan keyword/status pada fitur pencarian/filter.</x:v>
      </x:c>
      <x:c r="H35" s="28" t="str">
        <x:v>Data tabel berubah sesuai filter dan pengguna dapat menemukan data target.</x:v>
      </x:c>
      <x:c r="I35" s="28" t="str"/>
      <x:c r="J35" s="28" t="str">
        <x:v>Belum Diuji</x:v>
      </x:c>
      <x:c r="K35" s="28" t="str"/>
      <x:c r="L35" s="28" t="str"/>
    </x:row>
    <x:row r="36">
      <x:c r="A36" s="28" t="n">
        <x:v>32</x:v>
      </x:c>
      <x:c r="B36" s="28" t="str">
        <x:v>ST-032</x:v>
      </x:c>
      <x:c r="C36" s="28" t="str">
        <x:v>Usability Testing</x:v>
      </x:c>
      <x:c r="D36" s="28" t="str">
        <x:v>Status Workflow</x:v>
      </x:c>
      <x:c r="E36" s="28" t="str">
        <x:v>Semua role</x:v>
      </x:c>
      <x:c r="F36" s="28" t="str">
        <x:v>Status permohonan, sampel, hasil, dan LHU mudah dipahami.</x:v>
      </x:c>
      <x:c r="G36" s="28" t="str">
        <x:v>Pengguna membuka detail proses pada masing-masing role.</x:v>
      </x:c>
      <x:c r="H36" s="28" t="str">
        <x:v>Label status, warna, dan keterangan alur membantu pengguna memahami posisi proses.</x:v>
      </x:c>
      <x:c r="I36" s="28" t="str"/>
      <x:c r="J36" s="28" t="str">
        <x:v>Belum Diuji</x:v>
      </x:c>
      <x:c r="K36" s="28" t="str"/>
      <x:c r="L36" s="28" t="str"/>
    </x:row>
    <x:row r="37">
      <x:c r="A37" s="28" t="n">
        <x:v>33</x:v>
      </x:c>
      <x:c r="B37" s="28" t="str">
        <x:v>ST-033</x:v>
      </x:c>
      <x:c r="C37" s="28" t="str">
        <x:v>Usability Testing</x:v>
      </x:c>
      <x:c r="D37" s="28" t="str">
        <x:v>Dokumen dan Unduhan</x:v>
      </x:c>
      <x:c r="E37" s="28" t="str">
        <x:v>Pelanggan/QC/Kalab</x:v>
      </x:c>
      <x:c r="F37" s="28" t="str">
        <x:v>Tombol lihat/unduh dokumen mudah ditemukan dan digunakan.</x:v>
      </x:c>
      <x:c r="G37" s="28" t="str">
        <x:v>Pengguna membuka halaman invoice/LHU/dokumen terkait.</x:v>
      </x:c>
      <x:c r="H37" s="28" t="str">
        <x:v>Tombol dokumen terlihat jelas, file terbuka/terunduh, dan pesan error muncul jika file belum tersedia.</x:v>
      </x:c>
      <x:c r="I37" s="28" t="str"/>
      <x:c r="J37" s="28" t="str">
        <x:v>Belum Diuji</x:v>
      </x:c>
      <x:c r="K37" s="28" t="str"/>
      <x:c r="L37" s="28" t="str"/>
    </x:row>
    <x:row r="38">
      <x:c r="A38" s="28" t="n">
        <x:v>34</x:v>
      </x:c>
      <x:c r="B38" s="28" t="str">
        <x:v>ST-034</x:v>
      </x:c>
      <x:c r="C38" s="28" t="str">
        <x:v>Security Testing</x:v>
      </x:c>
      <x:c r="D38" s="28" t="str">
        <x:v>Autentikasi</x:v>
      </x:c>
      <x:c r="E38" s="28" t="str">
        <x:v>Pengguna tidak login</x:v>
      </x:c>
      <x:c r="F38" s="28" t="str">
        <x:v>Sistem menolak akses halaman internal tanpa login.</x:v>
      </x:c>
      <x:c r="G38" s="28" t="str">
        <x:v>URL halaman admin/kasi/penyelia diakses tanpa token/login.</x:v>
      </x:c>
      <x:c r="H38" s="28" t="str">
        <x:v>Sistem mengarahkan ke login atau menampilkan pesan tidak terotorisasi.</x:v>
      </x:c>
      <x:c r="I38" s="28" t="str"/>
      <x:c r="J38" s="28" t="str">
        <x:v>Belum Diuji</x:v>
      </x:c>
      <x:c r="K38" s="28" t="str"/>
      <x:c r="L38" s="28" t="str"/>
    </x:row>
    <x:row r="39">
      <x:c r="A39" s="28" t="n">
        <x:v>35</x:v>
      </x:c>
      <x:c r="B39" s="28" t="str">
        <x:v>ST-035</x:v>
      </x:c>
      <x:c r="C39" s="28" t="str">
        <x:v>Security Testing</x:v>
      </x:c>
      <x:c r="D39" s="28" t="str">
        <x:v>Otorisasi Role</x:v>
      </x:c>
      <x:c r="E39" s="28" t="str">
        <x:v>Pelanggan/Admin/Analis</x:v>
      </x:c>
      <x:c r="F39" s="28" t="str">
        <x:v>Sistem menolak akses role yang tidak sesuai.</x:v>
      </x:c>
      <x:c r="G39" s="28" t="str">
        <x:v>Pelanggan membuka URL admin, analis membuka URL QC, atau role lain mengakses fitur bukan haknya.</x:v>
      </x:c>
      <x:c r="H39" s="28" t="str">
        <x:v>Sistem menolak akses dan tidak menampilkan data/aksi role lain.</x:v>
      </x:c>
      <x:c r="I39" s="28" t="str"/>
      <x:c r="J39" s="28" t="str">
        <x:v>Belum Diuji</x:v>
      </x:c>
      <x:c r="K39" s="28" t="str"/>
      <x:c r="L39" s="28" t="str"/>
    </x:row>
    <x:row r="40">
      <x:c r="A40" s="28" t="n">
        <x:v>36</x:v>
      </x:c>
      <x:c r="B40" s="28" t="str">
        <x:v>ST-036</x:v>
      </x:c>
      <x:c r="C40" s="28" t="str">
        <x:v>Security Testing</x:v>
      </x:c>
      <x:c r="D40" s="28" t="str">
        <x:v>Kepemilikan Data</x:v>
      </x:c>
      <x:c r="E40" s="28" t="str">
        <x:v>Pelanggan/Analis</x:v>
      </x:c>
      <x:c r="F40" s="28" t="str">
        <x:v>Pengguna tidak dapat melihat data milik pengguna lain.</x:v>
      </x:c>
      <x:c r="G40" s="28" t="str">
        <x:v>Pelanggan A membuka detail permohonan/LHU pelanggan B atau analis membuka penugasan analis lain.</x:v>
      </x:c>
      <x:c r="H40" s="28" t="str">
        <x:v>Sistem menolak akses atau tidak menampilkan data yang bukan miliknya.</x:v>
      </x:c>
      <x:c r="I40" s="28" t="str"/>
      <x:c r="J40" s="28" t="str">
        <x:v>Belum Diuji</x:v>
      </x:c>
      <x:c r="K40" s="28" t="str"/>
      <x:c r="L40" s="28" t="str"/>
    </x:row>
    <x:row r="41">
      <x:c r="A41" s="28" t="n">
        <x:v>37</x:v>
      </x:c>
      <x:c r="B41" s="28" t="str">
        <x:v>ST-037</x:v>
      </x:c>
      <x:c r="C41" s="28" t="str">
        <x:v>Security Testing</x:v>
      </x:c>
      <x:c r="D41" s="28" t="str">
        <x:v>Token Sesi</x:v>
      </x:c>
      <x:c r="E41" s="28" t="str">
        <x:v>Semua role</x:v>
      </x:c>
      <x:c r="F41" s="28" t="str">
        <x:v>Sistem menolak token invalid/kedaluwarsa.</x:v>
      </x:c>
      <x:c r="G41" s="28" t="str">
        <x:v>Token dihapus, diubah manual, atau sesi sudah kedaluwarsa.</x:v>
      </x:c>
      <x:c r="H41" s="28" t="str">
        <x:v>Sistem meminta login ulang dan tidak memproses request.</x:v>
      </x:c>
      <x:c r="I41" s="28" t="str"/>
      <x:c r="J41" s="28" t="str">
        <x:v>Belum Diuji</x:v>
      </x:c>
      <x:c r="K41" s="28" t="str"/>
      <x:c r="L41" s="28" t="str"/>
    </x:row>
    <x:row r="42">
      <x:c r="A42" s="28" t="n">
        <x:v>38</x:v>
      </x:c>
      <x:c r="B42" s="28" t="str">
        <x:v>ST-038</x:v>
      </x:c>
      <x:c r="C42" s="28" t="str">
        <x:v>Security Testing</x:v>
      </x:c>
      <x:c r="D42" s="28" t="str">
        <x:v>Upload File</x:v>
      </x:c>
      <x:c r="E42" s="28" t="str">
        <x:v>Pelanggan/Analis/QC</x:v>
      </x:c>
      <x:c r="F42" s="28" t="str">
        <x:v>Sistem menolak file yang tidak sesuai ketentuan.</x:v>
      </x:c>
      <x:c r="G42" s="28" t="str">
        <x:v>File dengan ekstensi/tipe tidak diizinkan atau ukuran melebihi batas diunggah.</x:v>
      </x:c>
      <x:c r="H42" s="28" t="str">
        <x:v>Upload ditolak, pesan validasi tampil, dan file tidak tersimpan sebagai dokumen valid.</x:v>
      </x:c>
      <x:c r="I42" s="28" t="str"/>
      <x:c r="J42" s="28" t="str">
        <x:v>Belum Diuji</x:v>
      </x:c>
      <x:c r="K42" s="28" t="str"/>
      <x:c r="L42" s="28" t="str"/>
    </x:row>
    <x:row r="43">
      <x:c r="A43" s="28" t="n">
        <x:v>39</x:v>
      </x:c>
      <x:c r="B43" s="28" t="str">
        <x:v>ST-039</x:v>
      </x:c>
      <x:c r="C43" s="28" t="str">
        <x:v>Performance Testing</x:v>
      </x:c>
      <x:c r="D43" s="28" t="str">
        <x:v>Waktu Muat Halaman</x:v>
      </x:c>
      <x:c r="E43" s="28" t="str">
        <x:v>Semua role</x:v>
      </x:c>
      <x:c r="F43" s="28" t="str">
        <x:v>Halaman dashboard dan tabel utama dapat dimuat dalam waktu wajar.</x:v>
      </x:c>
      <x:c r="G43" s="28" t="str">
        <x:v>Pengguna membuka dashboard/riwayat/daftar review dengan data uji normal.</x:v>
      </x:c>
      <x:c r="H43" s="28" t="str">
        <x:v>Halaman utama tampil tanpa jeda berlebihan, target maksimal ±3 detik pada lingkungan pengujian.</x:v>
      </x:c>
      <x:c r="I43" s="28" t="str"/>
      <x:c r="J43" s="28" t="str">
        <x:v>Belum Diuji</x:v>
      </x:c>
      <x:c r="K43" s="28" t="str"/>
      <x:c r="L43" s="28" t="str"/>
    </x:row>
    <x:row r="44">
      <x:c r="A44" s="28" t="n">
        <x:v>40</x:v>
      </x:c>
      <x:c r="B44" s="28" t="str">
        <x:v>ST-040</x:v>
      </x:c>
      <x:c r="C44" s="28" t="str">
        <x:v>Performance Testing</x:v>
      </x:c>
      <x:c r="D44" s="28" t="str">
        <x:v>Waktu Proses Transaksi</x:v>
      </x:c>
      <x:c r="E44" s="28" t="str">
        <x:v>Admin/Kasi/QC/Kalab</x:v>
      </x:c>
      <x:c r="F44" s="28" t="str">
        <x:v>Proses utama tersimpan tanpa timeout.</x:v>
      </x:c>
      <x:c r="G44" s="28" t="str">
        <x:v>Pengguna menjalankan aksi verifikasi, penetapan tagihan, generate sampel, susun LHU, atau approval LHU.</x:v>
      </x:c>
      <x:c r="H44" s="28" t="str">
        <x:v>Sistem merespons sukses/gagal dengan jelas, target maksimal ±5 detik pada lingkungan pengujian.</x:v>
      </x:c>
      <x:c r="I44" s="28" t="str"/>
      <x:c r="J44" s="28" t="str">
        <x:v>Belum Diuji</x:v>
      </x:c>
      <x:c r="K44" s="28" t="str"/>
      <x:c r="L44" s="28" t="str"/>
    </x:row>
  </x:sheetData>
  <x:mergeCells>
    <x:mergeCell ref="A1:L1"/>
    <x:mergeCell ref="A2:L2"/>
  </x:mergeCells>
  <x:conditionalFormatting sqref="C5:C44">
    <x:cfRule type="expression" dxfId="0" priority="1">
      <x:formula>$C5="Requirements Testing"</x:formula>
    </x:cfRule>
    <x:cfRule type="expression" dxfId="1" priority="2">
      <x:formula>$C5="Usability Testing"</x:formula>
    </x:cfRule>
    <x:cfRule type="expression" dxfId="2" priority="3">
      <x:formula>$C5="Security Testing"</x:formula>
    </x:cfRule>
    <x:cfRule type="expression" dxfId="3" priority="4">
      <x:formula>$C5="Performance Testing"</x:formula>
    </x:cfRule>
  </x:conditionalFormatting>
  <x:conditionalFormatting sqref="J5:J44">
    <x:cfRule type="expression" dxfId="4" priority="5">
      <x:formula>$J5="Lulus"</x:formula>
    </x:cfRule>
    <x:cfRule type="expression" dxfId="5" priority="6">
      <x:formula>$J5="Gagal"</x:formula>
    </x:cfRule>
    <x:cfRule type="expression" dxfId="6" priority="7">
      <x:formula>$J5="Perlu Revisi"</x:formula>
    </x:cfRule>
    <x:cfRule type="expression" dxfId="7" priority="8">
      <x:formula>$J5="Belum Diuji"</x:formula>
    </x:cfRule>
  </x:conditionalFormatting>
  <x:dataValidations count="1">
    <x:dataValidation type="list" sqref="J5:J44">
      <x:formula1>"Belum Diuji,Lulus,Gagal,Perlu Revisi"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5158bfa44b41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4" hidden="0" customWidth="1"/>
    <x:col min="6" max="6" width="8" hidden="0" customWidth="1"/>
    <x:col min="7" max="7" width="54" hidden="0" customWidth="1"/>
    <x:col min="8" max="8" width="5" hidden="0" customWidth="1"/>
  </x:cols>
  <x:sheetData>
    <x:row r="1">
      <x:c r="A1" s="5" t="str">
        <x:v>Ringkasan System Testing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Workbook ini berisi 40 skenario system testing manual yang mencakup Requirements, Usability, Security, dan Performance Testing.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Jenis System Testing</x:v>
      </x:c>
      <x:c r="B4" s="21" t="str">
        <x:v>Jumlah Skenario</x:v>
      </x:c>
      <x:c r="C4" s="21" t="str">
        <x:v>Lulus</x:v>
      </x:c>
      <x:c r="D4" s="21" t="str">
        <x:v>Gagal</x:v>
      </x:c>
      <x:c r="F4" s="21" t="str">
        <x:v>Catatan Penggunaan</x:v>
      </x:c>
      <x:c r="G4" s="21"/>
      <x:c r="H4" s="21"/>
    </x:row>
    <x:row r="5">
      <x:c r="A5" s="26" t="str">
        <x:v>Requirements Testing</x:v>
      </x:c>
      <x:c r="B5" s="26" t="n">
        <x:f>COUNTIF('System Testing'!$C$5:$C$44,A5)</x:f>
        <x:v>28</x:v>
      </x:c>
      <x:c r="C5" s="26" t="n">
        <x:f>COUNTIFS('System Testing'!$C$5:$C$44,A5,'System Testing'!$J$5:$J$44,"Lulus")</x:f>
        <x:v>0</x:v>
      </x:c>
      <x:c r="D5" s="26" t="n">
        <x:f>COUNTIFS('System Testing'!$C$5:$C$44,A5,'System Testing'!$J$5:$J$44,"Gagal")</x:f>
        <x:v>0</x:v>
      </x:c>
      <x:c r="F5" s="26" t="str">
        <x:v>1</x:v>
      </x:c>
      <x:c r="G5" s="26" t="str">
        <x:v>Isi kolom Hasil Sebenarnya berdasarkan observasi saat pengujian manual.</x:v>
      </x:c>
      <x:c r="H5" s="26"/>
    </x:row>
    <x:row r="6">
      <x:c r="A6" s="26" t="str">
        <x:v>Usability Testing</x:v>
      </x:c>
      <x:c r="B6" s="26" t="n">
        <x:f>COUNTIF('System Testing'!$C$5:$C$44,A6)</x:f>
        <x:v>5</x:v>
      </x:c>
      <x:c r="C6" s="26" t="n">
        <x:f>COUNTIFS('System Testing'!$C$5:$C$44,A6,'System Testing'!$J$5:$J$44,"Lulus")</x:f>
        <x:v>0</x:v>
      </x:c>
      <x:c r="D6" s="26" t="n">
        <x:f>COUNTIFS('System Testing'!$C$5:$C$44,A6,'System Testing'!$J$5:$J$44,"Gagal")</x:f>
        <x:v>0</x:v>
      </x:c>
      <x:c r="F6" s="26" t="str">
        <x:v>2</x:v>
      </x:c>
      <x:c r="G6" s="26" t="str">
        <x:v>Ubah Status menjadi Lulus/Gagal/Perlu Revisi setelah skenario dijalankan.</x:v>
      </x:c>
      <x:c r="H6" s="26"/>
    </x:row>
    <x:row r="7">
      <x:c r="A7" s="26" t="str">
        <x:v>Security Testing</x:v>
      </x:c>
      <x:c r="B7" s="26" t="n">
        <x:f>COUNTIF('System Testing'!$C$5:$C$44,A7)</x:f>
        <x:v>5</x:v>
      </x:c>
      <x:c r="C7" s="26" t="n">
        <x:f>COUNTIFS('System Testing'!$C$5:$C$44,A7,'System Testing'!$J$5:$J$44,"Lulus")</x:f>
        <x:v>0</x:v>
      </x:c>
      <x:c r="D7" s="26" t="n">
        <x:f>COUNTIFS('System Testing'!$C$5:$C$44,A7,'System Testing'!$J$5:$J$44,"Gagal")</x:f>
        <x:v>0</x:v>
      </x:c>
      <x:c r="F7" s="26" t="str">
        <x:v>3</x:v>
      </x:c>
      <x:c r="G7" s="26" t="str">
        <x:v>Isi Bukti Screenshot dengan nama file/gambar lampiran di laporan.</x:v>
      </x:c>
      <x:c r="H7" s="26"/>
    </x:row>
    <x:row r="8">
      <x:c r="A8" s="26" t="str">
        <x:v>Performance Testing</x:v>
      </x:c>
      <x:c r="B8" s="26" t="n">
        <x:f>COUNTIF('System Testing'!$C$5:$C$44,A8)</x:f>
        <x:v>2</x:v>
      </x:c>
      <x:c r="C8" s="26" t="n">
        <x:f>COUNTIFS('System Testing'!$C$5:$C$44,A8,'System Testing'!$J$5:$J$44,"Lulus")</x:f>
        <x:v>0</x:v>
      </x:c>
      <x:c r="D8" s="26" t="n">
        <x:f>COUNTIFS('System Testing'!$C$5:$C$44,A8,'System Testing'!$J$5:$J$44,"Gagal")</x:f>
        <x:v>0</x:v>
      </x:c>
      <x:c r="F8" s="26" t="str">
        <x:v>4</x:v>
      </x:c>
      <x:c r="G8" s="26" t="str">
        <x:v>Performance target dapat disesuaikan dengan kondisi server/laptop pengujian.</x:v>
      </x:c>
      <x:c r="H8" s="26"/>
    </x:row>
    <x:row r="9">
      <x:c r="A9" s="26" t="str">
        <x:v>TOTAL</x:v>
      </x:c>
      <x:c r="B9" s="26" t="n">
        <x:f>SUM(B5:B8)</x:f>
        <x:v>40</x:v>
      </x:c>
      <x:c r="C9" s="26" t="n">
        <x:f>SUM(C5:C8)</x:f>
        <x:v>0</x:v>
      </x:c>
      <x:c r="D9" s="26" t="n">
        <x:f>SUM(D5:D8)</x:f>
        <x:v>0</x:v>
      </x:c>
    </x:row>
    <x:row r="11">
      <x:c r="A11" s="21" t="str">
        <x:v>Status</x:v>
      </x:c>
      <x:c r="B11" s="21" t="str">
        <x:v>Jumlah</x:v>
      </x:c>
      <x:c r="C11" s="21" t="str">
        <x:v>Persentase</x:v>
      </x:c>
    </x:row>
    <x:row r="12">
      <x:c r="A12" s="26" t="str">
        <x:v>Belum Diuji</x:v>
      </x:c>
      <x:c r="B12" s="26" t="n">
        <x:f>COUNTIF('System Testing'!$J$5:$J$44,A12)</x:f>
        <x:v>40</x:v>
      </x:c>
      <x:c r="C12" s="32" t="n">
        <x:f>IFERROR(B12/COUNTA('System Testing'!$J$5:$J$44),0)</x:f>
        <x:v>1</x:v>
      </x:c>
    </x:row>
    <x:row r="13">
      <x:c r="A13" s="26" t="str">
        <x:v>Lulus</x:v>
      </x:c>
      <x:c r="B13" s="26" t="n">
        <x:f>COUNTIF('System Testing'!$J$5:$J$44,A13)</x:f>
        <x:v>0</x:v>
      </x:c>
      <x:c r="C13" s="32" t="n">
        <x:f>IFERROR(B13/COUNTA('System Testing'!$J$5:$J$44),0)</x:f>
        <x:v>0</x:v>
      </x:c>
    </x:row>
    <x:row r="14">
      <x:c r="A14" s="26" t="str">
        <x:v>Gagal</x:v>
      </x:c>
      <x:c r="B14" s="26" t="n">
        <x:f>COUNTIF('System Testing'!$J$5:$J$44,A14)</x:f>
        <x:v>0</x:v>
      </x:c>
      <x:c r="C14" s="32" t="n">
        <x:f>IFERROR(B14/COUNTA('System Testing'!$J$5:$J$44),0)</x:f>
        <x:v>0</x:v>
      </x:c>
    </x:row>
    <x:row r="15">
      <x:c r="A15" s="26" t="str">
        <x:v>Perlu Revisi</x:v>
      </x:c>
      <x:c r="B15" s="26" t="n">
        <x:f>COUNTIF('System Testing'!$J$5:$J$44,A15)</x:f>
        <x:v>0</x:v>
      </x:c>
      <x:c r="C15" s="32" t="n">
        <x:f>IFERROR(B15/COUNTA('System Testing'!$J$5:$J$44),0)</x:f>
        <x:v>0</x:v>
      </x:c>
    </x:row>
  </x:sheetData>
  <x:mergeCells>
    <x:mergeCell ref="A1:H1"/>
    <x:mergeCell ref="A2:H2"/>
    <x:mergeCell ref="F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8" hidden="0" customWidth="1"/>
    <x:col min="4" max="4" width="48" hidden="0" customWidth="1"/>
  </x:cols>
  <x:sheetData>
    <x:row r="1">
      <x:c r="A1" s="5" t="str">
        <x:v>Daftar Kategori dan Acuan Penyusunan</x:v>
      </x:c>
      <x:c r="B1" s="5"/>
      <x:c r="C1" s="5"/>
      <x:c r="D1" s="5"/>
    </x:row>
    <x:row r="3">
      <x:c r="A3" s="21" t="str">
        <x:v>Kategori</x:v>
      </x:c>
      <x:c r="B3" s="21" t="str">
        <x:v>Fokus Pengujian</x:v>
      </x:c>
      <x:c r="C3" s="21" t="str">
        <x:v>Bentuk Bukti</x:v>
      </x:c>
      <x:c r="D3" s="21" t="str">
        <x:v>Catatan</x:v>
      </x:c>
    </x:row>
    <x:row r="4">
      <x:c r="A4" s="26" t="str">
        <x:v>Requirements Testing</x:v>
      </x:c>
      <x:c r="B4" s="26" t="str">
        <x:v>Kesesuaian fungsi utama dengan kebutuhan bisnis dan alur proses SILABLING.</x:v>
      </x:c>
      <x:c r="C4" s="26" t="str">
        <x:v>Screenshot alur, status, dan data tersimpan.</x:v>
      </x:c>
      <x:c r="D4" s="26" t="str">
        <x:v>Mencakup alur pelanggan sampai LHU diambil.</x:v>
      </x:c>
    </x:row>
    <x:row r="5">
      <x:c r="A5" s="26" t="str">
        <x:v>Usability Testing</x:v>
      </x:c>
      <x:c r="B5" s="26" t="str">
        <x:v>Kemudahan penggunaan, kejelasan menu, pesan error, status, dan akses dokumen.</x:v>
      </x:c>
      <x:c r="C5" s="26" t="str">
        <x:v>Screenshot UI dan catatan penguji.</x:v>
      </x:c>
      <x:c r="D5" s="26" t="str">
        <x:v>Dapat dilakukan oleh peneliti atau pengguna perwakilan.</x:v>
      </x:c>
    </x:row>
    <x:row r="6">
      <x:c r="A6" s="26" t="str">
        <x:v>Security Testing</x:v>
      </x:c>
      <x:c r="B6" s="26" t="str">
        <x:v>Autentikasi, otorisasi role, kepemilikan data, token, dan validasi file.</x:v>
      </x:c>
      <x:c r="C6" s="26" t="str">
        <x:v>Screenshot akses ditolak/pesan error.</x:v>
      </x:c>
      <x:c r="D6" s="26" t="str">
        <x:v>Pengujian sederhana sesuai batasan TA.</x:v>
      </x:c>
    </x:row>
    <x:row r="7">
      <x:c r="A7" s="26" t="str">
        <x:v>Performance Testing</x:v>
      </x:c>
      <x:c r="B7" s="26" t="str">
        <x:v>Waktu muat halaman dan respons proses utama.</x:v>
      </x:c>
      <x:c r="C7" s="26" t="str">
        <x:v>Catatan waktu respons/observasi browser.</x:v>
      </x:c>
      <x:c r="D7" s="26" t="str">
        <x:v>Target waktu bersifat indikator pada lingkungan uji.</x:v>
      </x:c>
    </x:row>
    <x:row r="8">
      <x:c r="A8" s="26"/>
      <x:c r="B8" s="26"/>
      <x:c r="C8" s="26"/>
      <x:c r="D8" s="26"/>
    </x:row>
    <x:row r="9">
      <x:c r="A9" s="21" t="str">
        <x:v>Acuan Teori</x:v>
      </x:c>
      <x:c r="B9" s="21" t="str">
        <x:v>Pokok Rujukan</x:v>
      </x:c>
      <x:c r="C9" s="21" t="str">
        <x:v>Penerapan pada Workbook</x:v>
      </x:c>
      <x:c r="D9" s="21" t="str">
        <x:v>Sumber</x:v>
      </x:c>
    </x:row>
    <x:row r="10">
      <x:c r="A10" s="26" t="str">
        <x:v>Dennis et al. - Chapter 12 Construction</x:v>
      </x:c>
      <x:c r="B10" s="26" t="str">
        <x:v>System testing mencakup requirements, usability, documentation, performance, dan security testing.</x:v>
      </x:c>
      <x:c r="C10" s="26" t="str">
        <x:v>Workbook ini mengambil empat bagian utama yang relevan untuk TA: requirements, usability, security, performance.</x:v>
      </x:c>
      <x:c r="D10" s="26" t="str">
        <x:v>Systems Analysis &amp; Design: An Object-Oriented Approach with UML, 5th Edition</x:v>
      </x:c>
    </x:row>
    <x:row r="11">
      <x:c r="A11" s="26" t="str">
        <x:v>The Art of Software Testing, 3rd Edition</x:v>
      </x:c>
      <x:c r="B11" s="26" t="str">
        <x:v>System/higher-order testing mencakup pengujian usability, security, performance, serta testing aplikasi web.</x:v>
      </x:c>
      <x:c r="C11" s="26" t="str">
        <x:v>Skenario disusun sebagai manual black-box browser testing dengan input dan expected result.</x:v>
      </x:c>
      <x:c r="D11" s="26" t="str">
        <x:v>The Art of Software Testing, 3rd Edition</x:v>
      </x:c>
    </x:row>
  </x:sheetData>
  <x:mergeCells>
    <x:mergeCell ref="A1:D1"/>
  </x:mergeCells>
  <x:pageMargins left="0.7" right="0.7" top="0.75" bottom="0.75" header="0.3" footer="0.3"/>
</x:worksheet>
</file>